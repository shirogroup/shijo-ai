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Vendor Pricing &amp; Assumptions" sheetId="2" state="visible" r:id="rId4"/>
    <sheet name="Cost Per Scan (A vs B)" sheetId="3" state="visible" r:id="rId5"/>
    <sheet name="Monthly Cost vs Plan Revenu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<sst xmlns="http://schemas.openxmlformats.org/spreadsheetml/2006/main" count="152" uniqueCount="121">
  <si>
    <t xml:space="preserve">SHIJO.AI</t>
  </si>
  <si>
    <t xml:space="preserve">AI Visibility Tracking — Cost Breakdown, Option A vs Option B</t>
  </si>
  <si>
    <t xml:space="preserve">Prepared for review — July 19, 2026</t>
  </si>
  <si>
    <t xml:space="preserve">Purpose</t>
  </si>
  <si>
    <t xml:space="preserve">Models what AI-visibility/GEO tracking (the feature scoped in docs/product/2026-07-19-AI-Visibility-Tracking-Scoping.docx) would actually cost per scan and per month, for both build options, stacked on top of the AI cost this project already carries per plan (the same worst-case-per-generation methodology already used and trusted in the Enterprise fair-use fix, pricing review doc section 8).</t>
  </si>
  <si>
    <t xml:space="preserve">How to use this</t>
  </si>
  <si>
    <t xml:space="preserve">Blue cells are editable inputs — vendor pricing (Sheet 2), token/volume assumptions (Sheet 2), and assumed scans/month per plan (Sheet 4, currently placeholders since quota-per-plan is an open decision, not yet set). Everything else is a live formula and recalculates automatically when you change a blue cell.</t>
  </si>
  <si>
    <t xml:space="preserve">What is NOT in this model</t>
  </si>
  <si>
    <t xml:space="preserve">Real measured token usage (nothing has been built yet, so input/output token counts are modeled estimates, not logged data — clearly marked in Sheet 2). Vendor account minimums/contract terms beyond list pricing. Engineering time/cost to build either option (this is API/inference cost only, not build cost — see the scoping doc for the engineering-effort read).</t>
  </si>
  <si>
    <t xml:space="preserve">Sheets</t>
  </si>
  <si>
    <t xml:space="preserve">2. Vendor Pricing &amp; Assumptions — sourced per-unit costs for every vendor involved, plus the token-count assumptions the model uses.</t>
  </si>
  <si>
    <t xml:space="preserve">3. Cost Per Scan — Option A vs B — what one AI-visibility check costs under each option, broken into its component API calls.</t>
  </si>
  <si>
    <t xml:space="preserve">4. Monthly Cost vs Plan Revenue — stacks the new feature cost on top of the AI cost SHIJO already carries per plan, at adjustable monthly scan volumes, compared against each plan's price.</t>
  </si>
  <si>
    <t xml:space="preserve">Vendor Pricing (sourced, July 2026)</t>
  </si>
  <si>
    <t xml:space="preserve">Vendor / Model</t>
  </si>
  <si>
    <t xml:space="preserve">Input $ / 1M tok</t>
  </si>
  <si>
    <t xml:space="preserve">Output $ / 1M tok</t>
  </si>
  <si>
    <t xml:space="preserve">Per-request fee</t>
  </si>
  <si>
    <t xml:space="preserve">Source</t>
  </si>
  <si>
    <t xml:space="preserve">Anthropic Claude Sonnet 4.6 (already in use — 9/12 tools)</t>
  </si>
  <si>
    <t xml:space="preserve">finout.io / cloudzero.com Anthropic pricing summaries, July 2026 — matches the $3/$15 figure already used in this project's own Enterprise fair-use calc.</t>
  </si>
  <si>
    <t xml:space="preserve">Anthropic Claude Haiku 4.5 (already in use — 3/12 tools + all Free-plan gens)</t>
  </si>
  <si>
    <t xml:space="preserve">Same sources as above — matches the $1/$5 figure already used in this project.</t>
  </si>
  <si>
    <t xml:space="preserve">OpenAI GPT-4o (Option B — ChatGPT leg)</t>
  </si>
  <si>
    <t xml:space="preserve">cloudzero.com / pecollective.com OpenAI pricing summaries, July 2026.</t>
  </si>
  <si>
    <t xml:space="preserve">OpenAI GPT-4o-mini (Option B — cheaper ChatGPT leg alternative)</t>
  </si>
  <si>
    <t xml:space="preserve">Same sources — far cheaper but a materially different (weaker) model than what most ChatGPT users actually see by default.</t>
  </si>
  <si>
    <t xml:space="preserve">Perplexity Sonar Pro (Option B — Perplexity leg)</t>
  </si>
  <si>
    <t xml:space="preserve">docs.perplexity.ai / cloudzero.com, July 2026 — token cost plus a $5-$14 per 1,000-request fee (mid-point $9.50/1,000 = $0.0095/request modeled here); confirm exact fee tier against docs.perplexity.ai before committing budget.</t>
  </si>
  <si>
    <t xml:space="preserve">Perplexity Sonar (base, Option B — cheaper Perplexity leg alternative)</t>
  </si>
  <si>
    <t xml:space="preserve">Same source — cheaper token rate, same modeled request fee.</t>
  </si>
  <si>
    <t xml:space="preserve">DataForSEO SERP API w/ AI Overview, Live priority (Option B — Google AI Overview leg)</t>
  </si>
  <si>
    <t xml:space="preserve">dataforseo.com/pricing/serp — $4.00 per 1,000 AI-Overview-enabled Live queries ($0.004/query), modeled as a flat per-request fee since there is no token pricing for this endpoint.</t>
  </si>
  <si>
    <t xml:space="preserve">SerpApi w/ AI Overview included (Option B — Google AI Overview leg, alternative vendor)</t>
  </si>
  <si>
    <t xml:space="preserve">serpapi.com/pricing — $5.00 per 1,000 queries, AI Overview included at no separate surcharge; DataForSEO is the cheaper of the two at list price.</t>
  </si>
  <si>
    <t xml:space="preserve">Token / Volume Assumptions — MODELED, not measured (nothing is built yet)</t>
  </si>
  <si>
    <t xml:space="preserve">These estimate a structured visibility-check prompt/response (query + brand + short JSON verdict), which is shorter than the full-length copy the 12 existing content tools generate. Re-check against real logged token counts once any version of this ships.</t>
  </si>
  <si>
    <t xml:space="preserve">Assumption</t>
  </si>
  <si>
    <t xml:space="preserve">Value (tokens)</t>
  </si>
  <si>
    <t xml:space="preserve">Input tokens per scan (query + brand + context, same across all engines)</t>
  </si>
  <si>
    <t xml:space="preserve">Output tokens per scan — structured verdict (mentioned/position/sentiment/reasoning)</t>
  </si>
  <si>
    <t xml:space="preserve">Cost Per Scan — Option A vs Option B</t>
  </si>
  <si>
    <t xml:space="preserve">One "scan" = one AI-visibility check for one brand + one query.</t>
  </si>
  <si>
    <t xml:space="preserve">OPTION A — Claude-only simulation</t>
  </si>
  <si>
    <t xml:space="preserve">Component call</t>
  </si>
  <si>
    <t xml:space="preserve">Input $/1M</t>
  </si>
  <si>
    <t xml:space="preserve">Output $/1M</t>
  </si>
  <si>
    <t xml:space="preserve">Cost per scan</t>
  </si>
  <si>
    <t xml:space="preserve">Note</t>
  </si>
  <si>
    <t xml:space="preserve">Claude Sonnet 4.6 — single call, own simulated assessment</t>
  </si>
  <si>
    <t xml:space="preserve">Higher quality, matches the model already used on 9/12 existing tools.</t>
  </si>
  <si>
    <t xml:space="preserve">Claude Haiku 4.5 — single call, own simulated assessment (cheaper alt)</t>
  </si>
  <si>
    <t xml:space="preserve">Cheaper, matches the model already used for all Free-plan generations. Likely weaker simulated judgment.</t>
  </si>
  <si>
    <t xml:space="preserve">Option A total per scan (Sonnet)</t>
  </si>
  <si>
    <t xml:space="preserve">Option A total per scan (Haiku)</t>
  </si>
  <si>
    <t xml:space="preserve">OPTION B — real multi-engine tracking (ChatGPT + Perplexity + Google AI Overview)</t>
  </si>
  <si>
    <t xml:space="preserve">OpenAI GPT-4o — real ChatGPT-leg query</t>
  </si>
  <si>
    <t xml:space="preserve">Requires a new OpenAI API key/account — does not exist in this project today.</t>
  </si>
  <si>
    <t xml:space="preserve">Perplexity Sonar Pro — real Perplexity-leg query</t>
  </si>
  <si>
    <t xml:space="preserve">Requires a new Perplexity API key/account — does not exist in this project today. Includes modeled per-request fee.</t>
  </si>
  <si>
    <t xml:space="preserve">DataForSEO SERP API (AI Overview, Live) — real Google AI Overview capture</t>
  </si>
  <si>
    <t xml:space="preserve">Requires a new DataForSEO (or SerpApi) account — does not exist in this project today. No public Google AI Overview API exists; this is a third-party SERP-capture workaround.</t>
  </si>
  <si>
    <t xml:space="preserve">Option B total per scan (GPT-4o + Sonar Pro + DataForSEO)</t>
  </si>
  <si>
    <t xml:space="preserve">Option B total per scan (cheaper models: GPT-4o-mini + Sonar base + DataForSEO)</t>
  </si>
  <si>
    <t xml:space="preserve">Summary — cost multiple vs. Option A</t>
  </si>
  <si>
    <t xml:space="preserve">Build</t>
  </si>
  <si>
    <t xml:space="preserve">x Option A (Sonnet)</t>
  </si>
  <si>
    <t xml:space="preserve">New vendor accounts required</t>
  </si>
  <si>
    <t xml:space="preserve">Option A — Sonnet</t>
  </si>
  <si>
    <t xml:space="preserve">None — Anthropic already in use</t>
  </si>
  <si>
    <t xml:space="preserve">Option A — Haiku</t>
  </si>
  <si>
    <t xml:space="preserve">Option B — higher-quality models</t>
  </si>
  <si>
    <t xml:space="preserve">OpenAI + Perplexity + DataForSEO (3 new)</t>
  </si>
  <si>
    <t xml:space="preserve">Option B — cheaper models</t>
  </si>
  <si>
    <t xml:space="preserve">Monthly Cost vs Plan Revenue — new feature stacked on existing AI cost</t>
  </si>
  <si>
    <t xml:space="preserve">Part 1 — Existing AI cost per plan (already shipped, not new)</t>
  </si>
  <si>
    <t xml:space="preserve">Reconstructs the same worst-case-per-generation math already used and trusted in the Enterprise fair-use fix (pricing review doc, section 8: "a Sonnet generation costs about $0.03"). Cross-check: this model computes $0.0285/generation from 500 input + 1,800 output tokens at Sonnet's $3/$15 rate, matching that published figure.</t>
  </si>
  <si>
    <t xml:space="preserve">Existing full-generation token assumption (content tools, NOT the shorter visibility-scan prompt above)</t>
  </si>
  <si>
    <t xml:space="preserve">Input tokens per existing generation</t>
  </si>
  <si>
    <t xml:space="preserve">Output tokens per existing generation</t>
  </si>
  <si>
    <t xml:space="preserve">Plan</t>
  </si>
  <si>
    <t xml:space="preserve">Monthly generation quota</t>
  </si>
  <si>
    <t xml:space="preserve">Worst-case model</t>
  </si>
  <si>
    <t xml:space="preserve">Cost / generation</t>
  </si>
  <si>
    <t xml:space="preserve">Existing monthly AI cost</t>
  </si>
  <si>
    <t xml:space="preserve">Plan price</t>
  </si>
  <si>
    <t xml:space="preserve">Free</t>
  </si>
  <si>
    <t xml:space="preserve">Haiku (all Free-plan generations forced to Haiku)</t>
  </si>
  <si>
    <t xml:space="preserve">Pro</t>
  </si>
  <si>
    <t xml:space="preserve">Sonnet (worst case — 9/12 tools are Sonnet-tier)</t>
  </si>
  <si>
    <t xml:space="preserve">Enterprise</t>
  </si>
  <si>
    <t xml:space="preserve">Sonnet (worst case, fair-use cap = 3,000/mo)</t>
  </si>
  <si>
    <t xml:space="preserve">Part 2 — New AI-visibility feature cost, stacked on top (Option A vs B)</t>
  </si>
  <si>
    <t xml:space="preserve">Assumed scans/month per plan are PLACEHOLDERS, not decided — this is one of the open items in the scoping doc. Edit the yellow cells to test different quota levels; every total below recalculates.</t>
  </si>
  <si>
    <t xml:space="preserve">Assumed AI-visibility scans / month</t>
  </si>
  <si>
    <t xml:space="preserve">Option A cost/mo (Sonnet)</t>
  </si>
  <si>
    <t xml:space="preserve">Option B cost/mo (higher-quality)</t>
  </si>
  <si>
    <t xml:space="preserve">Existing + Option A total</t>
  </si>
  <si>
    <t xml:space="preserve">Existing + Option B total</t>
  </si>
  <si>
    <t xml:space="preserve">Part 3 — Combined AI cost as % of plan revenue</t>
  </si>
  <si>
    <t xml:space="preserve">Existing-only, % of revenue</t>
  </si>
  <si>
    <t xml:space="preserve">Existing + Option A, % of revenue</t>
  </si>
  <si>
    <t xml:space="preserve">Existing + Option B, % of revenue</t>
  </si>
  <si>
    <t xml:space="preserve">Reads as</t>
  </si>
  <si>
    <t xml:space="preserve">Part 4 — Gross profit per user/month if Option A ships (Claude-only simulation)</t>
  </si>
  <si>
    <t xml:space="preserve">Gross profit here = plan price minus ALL worst-case AI cost (existing 12-tool generations + the new AI-visibility feature at the scan volumes set in Part 2). Does not include Stripe fees, hosting, or any non-AI cost — this is an AI-cost-only profit view, consistent with the rest of this model.</t>
  </si>
  <si>
    <t xml:space="preserve">Total AI cost (existing + Option A)</t>
  </si>
  <si>
    <t xml:space="preserve">Gross profit ($)</t>
  </si>
  <si>
    <t xml:space="preserve">Gross margin (%)</t>
  </si>
  <si>
    <t xml:space="preserve">Profit given up vs. before this feature</t>
  </si>
  <si>
    <t xml:space="preserve">Part 5 — What it takes to hit a target margin (Sri: 75-80%, need room for ad spend)</t>
  </si>
  <si>
    <t xml:space="preserve">Edit the yellow target-margin cell. For each plan, at the CURRENT price and CURRENT worst-case cost: whether it already clears the target, and if not, both the price that would clear it at today's fair-use cap, and the fair-use cap that would clear it at today's price — two separate levers, pick one or blend both.</t>
  </si>
  <si>
    <t xml:space="preserve">Target gross margin</t>
  </si>
  <si>
    <t xml:space="preserve">Current price</t>
  </si>
  <si>
    <t xml:space="preserve">Current worst-case cost</t>
  </si>
  <si>
    <t xml:space="preserve">Current margin</t>
  </si>
  <si>
    <t xml:space="preserve">Meets target?</t>
  </si>
  <si>
    <t xml:space="preserve">Price needed to hit target (same cap)</t>
  </si>
  <si>
    <t xml:space="preserve">Current fair-use cap (gens/mo)</t>
  </si>
  <si>
    <t xml:space="preserve">Max cap to hit target (same price)</t>
  </si>
  <si>
    <t xml:space="preserve">Cap cut needed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</si>
</sst>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00"/>
    <numFmt numFmtId="166" formatCode="0.0\x"/>
    <numFmt numFmtId="167" formatCode="\$#,##0.00"/>
    <numFmt numFmtId="168" formatCode="\$#,##0"/>
    <numFmt numFmtId="169" formatCode="0.0%"/>
    <numFmt numFmtId="170" formatCode="0%"/>
    <numFmt numFmtId="171" formatCode="\$#,##0"/>
    <numFmt numFmtId="172" formatCode="\$#,##0.00"/>
    <numFmt numFmtId="173" formatCode="\$#,##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C2626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E8F5E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3F4F6"/>
      </patternFill>
    </fill>
    <fill>
      <patternFill patternType="solid">
        <fgColor rgb="FFE8F5E9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8F5E9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2" customFormat="false" ht="15.7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3.5" hidden="false" customHeight="true" outlineLevel="0" collapsed="false">
      <c r="A5" s="5" t="s">
        <v>3</v>
      </c>
    </row>
    <row r="6" customFormat="false" ht="30" hidden="false" customHeight="true" outlineLevel="0" collapsed="false">
      <c r="A6" s="6" t="s">
        <v>4</v>
      </c>
    </row>
    <row r="7" customFormat="false" ht="13.5" hidden="false" customHeight="true" outlineLevel="0" collapsed="false">
      <c r="A7" s="6"/>
    </row>
    <row r="8" customFormat="false" ht="13.5" hidden="false" customHeight="true" outlineLevel="0" collapsed="false">
      <c r="A8" s="5" t="s">
        <v>5</v>
      </c>
    </row>
    <row r="9" customFormat="false" ht="30" hidden="false" customHeight="true" outlineLevel="0" collapsed="false">
      <c r="A9" s="6" t="s">
        <v>6</v>
      </c>
    </row>
    <row r="10" customFormat="false" ht="13.5" hidden="false" customHeight="true" outlineLevel="0" collapsed="false">
      <c r="A10" s="6"/>
    </row>
    <row r="11" customFormat="false" ht="13.5" hidden="false" customHeight="true" outlineLevel="0" collapsed="false">
      <c r="A11" s="5" t="s">
        <v>7</v>
      </c>
    </row>
    <row r="12" customFormat="false" ht="30" hidden="false" customHeight="true" outlineLevel="0" collapsed="false">
      <c r="A12" s="6" t="s">
        <v>8</v>
      </c>
    </row>
    <row r="13" customFormat="false" ht="13.5" hidden="false" customHeight="true" outlineLevel="0" collapsed="false">
      <c r="A13" s="6"/>
    </row>
    <row r="14" customFormat="false" ht="13.5" hidden="false" customHeight="true" outlineLevel="0" collapsed="false">
      <c r="A14" s="5" t="s">
        <v>9</v>
      </c>
    </row>
    <row r="15" customFormat="false" ht="30" hidden="false" customHeight="true" outlineLevel="0" collapsed="false">
      <c r="A15" s="6" t="s">
        <v>10</v>
      </c>
    </row>
    <row r="16" customFormat="false" ht="30" hidden="false" customHeight="true" outlineLevel="0" collapsed="false">
      <c r="A16" s="6" t="s">
        <v>11</v>
      </c>
    </row>
    <row r="17" customFormat="false" ht="30" hidden="false" customHeight="true" outlineLevel="0" collapsed="false">
      <c r="A17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60"/>
  </cols>
  <sheetData>
    <row r="1" customFormat="false" ht="15.75" hidden="false" customHeight="true" outlineLevel="0" collapsed="false">
      <c r="A1" s="3" t="s">
        <v>13</v>
      </c>
    </row>
    <row r="3" customFormat="false" ht="15" hidden="false" customHeight="true" outlineLevel="0" collapsed="false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</row>
    <row r="4" customFormat="false" ht="42" hidden="false" customHeight="true" outlineLevel="0" collapsed="false">
      <c r="A4" s="8" t="s">
        <v>19</v>
      </c>
      <c r="B4" s="9" t="n">
        <v>3</v>
      </c>
      <c r="C4" s="9" t="n">
        <v>15</v>
      </c>
      <c r="D4" s="9" t="n">
        <v>0</v>
      </c>
      <c r="E4" s="10" t="s">
        <v>20</v>
      </c>
    </row>
    <row r="5" customFormat="false" ht="42" hidden="false" customHeight="true" outlineLevel="0" collapsed="false">
      <c r="A5" s="8" t="s">
        <v>21</v>
      </c>
      <c r="B5" s="9" t="n">
        <v>1</v>
      </c>
      <c r="C5" s="9" t="n">
        <v>5</v>
      </c>
      <c r="D5" s="9" t="n">
        <v>0</v>
      </c>
      <c r="E5" s="10" t="s">
        <v>22</v>
      </c>
    </row>
    <row r="6" customFormat="false" ht="42" hidden="false" customHeight="true" outlineLevel="0" collapsed="false">
      <c r="A6" s="8" t="s">
        <v>23</v>
      </c>
      <c r="B6" s="9" t="n">
        <v>2.5</v>
      </c>
      <c r="C6" s="9" t="n">
        <v>10</v>
      </c>
      <c r="D6" s="9" t="n">
        <v>0</v>
      </c>
      <c r="E6" s="10" t="s">
        <v>24</v>
      </c>
    </row>
    <row r="7" customFormat="false" ht="42" hidden="false" customHeight="true" outlineLevel="0" collapsed="false">
      <c r="A7" s="8" t="s">
        <v>25</v>
      </c>
      <c r="B7" s="9" t="n">
        <v>0.15</v>
      </c>
      <c r="C7" s="9" t="n">
        <v>0.6</v>
      </c>
      <c r="D7" s="9" t="n">
        <v>0</v>
      </c>
      <c r="E7" s="10" t="s">
        <v>26</v>
      </c>
    </row>
    <row r="8" customFormat="false" ht="42" hidden="false" customHeight="true" outlineLevel="0" collapsed="false">
      <c r="A8" s="8" t="s">
        <v>27</v>
      </c>
      <c r="B8" s="9" t="n">
        <v>3</v>
      </c>
      <c r="C8" s="9" t="n">
        <v>15</v>
      </c>
      <c r="D8" s="9" t="n">
        <v>0.0095</v>
      </c>
      <c r="E8" s="10" t="s">
        <v>28</v>
      </c>
    </row>
    <row r="9" customFormat="false" ht="42" hidden="false" customHeight="true" outlineLevel="0" collapsed="false">
      <c r="A9" s="8" t="s">
        <v>29</v>
      </c>
      <c r="B9" s="9" t="n">
        <v>1</v>
      </c>
      <c r="C9" s="9" t="n">
        <v>1</v>
      </c>
      <c r="D9" s="9" t="n">
        <v>0.0095</v>
      </c>
      <c r="E9" s="10" t="s">
        <v>30</v>
      </c>
    </row>
    <row r="10" customFormat="false" ht="42" hidden="false" customHeight="true" outlineLevel="0" collapsed="false">
      <c r="A10" s="8" t="s">
        <v>31</v>
      </c>
      <c r="B10" s="9" t="n">
        <v>0</v>
      </c>
      <c r="C10" s="9" t="n">
        <v>0</v>
      </c>
      <c r="D10" s="9" t="n">
        <v>0.004</v>
      </c>
      <c r="E10" s="10" t="s">
        <v>32</v>
      </c>
    </row>
    <row r="11" customFormat="false" ht="42" hidden="false" customHeight="true" outlineLevel="0" collapsed="false">
      <c r="A11" s="8" t="s">
        <v>33</v>
      </c>
      <c r="B11" s="9" t="n">
        <v>0</v>
      </c>
      <c r="C11" s="9" t="n">
        <v>0</v>
      </c>
      <c r="D11" s="9" t="n">
        <v>0.005</v>
      </c>
      <c r="E11" s="10" t="s">
        <v>34</v>
      </c>
    </row>
    <row r="13" customFormat="false" ht="15" hidden="false" customHeight="true" outlineLevel="0" collapsed="false">
      <c r="A13" s="11" t="s">
        <v>35</v>
      </c>
    </row>
    <row r="14" customFormat="false" ht="27.75" hidden="false" customHeight="true" outlineLevel="0" collapsed="false">
      <c r="A14" s="12" t="s">
        <v>36</v>
      </c>
      <c r="B14" s="12"/>
      <c r="C14" s="12"/>
      <c r="D14" s="12"/>
      <c r="E14" s="12"/>
    </row>
    <row r="16" customFormat="false" ht="15" hidden="false" customHeight="true" outlineLevel="0" collapsed="false">
      <c r="A16" s="13" t="s">
        <v>37</v>
      </c>
      <c r="B16" s="13" t="s">
        <v>38</v>
      </c>
    </row>
    <row r="17" customFormat="false" ht="15" hidden="false" customHeight="true" outlineLevel="0" collapsed="false">
      <c r="A17" s="14" t="s">
        <v>39</v>
      </c>
      <c r="B17" s="9" t="n">
        <v>500</v>
      </c>
    </row>
    <row r="18" customFormat="false" ht="15" hidden="false" customHeight="true" outlineLevel="0" collapsed="false">
      <c r="A18" s="14" t="s">
        <v>40</v>
      </c>
      <c r="B18" s="9" t="n">
        <v>350</v>
      </c>
    </row>
  </sheetData>
  <mergeCells count="1"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8"/>
    <col collapsed="false" customWidth="true" hidden="false" outlineLevel="0" max="5" min="5" style="1" width="60"/>
  </cols>
  <sheetData>
    <row r="1" customFormat="false" ht="15.75" hidden="false" customHeight="true" outlineLevel="0" collapsed="false">
      <c r="A1" s="3" t="s">
        <v>41</v>
      </c>
    </row>
    <row r="3" customFormat="false" ht="21.75" hidden="false" customHeight="true" outlineLevel="0" collapsed="false">
      <c r="A3" s="15" t="s">
        <v>42</v>
      </c>
    </row>
    <row r="5" customFormat="false" ht="15" hidden="false" customHeight="true" outlineLevel="0" collapsed="false">
      <c r="A5" s="16" t="s">
        <v>43</v>
      </c>
      <c r="B5" s="17"/>
      <c r="C5" s="17"/>
      <c r="D5" s="17"/>
      <c r="E5" s="17"/>
    </row>
    <row r="6" customFormat="false" ht="15" hidden="false" customHeight="true" outlineLevel="0" collapsed="false">
      <c r="A6" s="7" t="s">
        <v>44</v>
      </c>
      <c r="B6" s="7" t="s">
        <v>45</v>
      </c>
      <c r="C6" s="7" t="s">
        <v>46</v>
      </c>
      <c r="D6" s="7" t="s">
        <v>47</v>
      </c>
      <c r="E6" s="7" t="s">
        <v>48</v>
      </c>
    </row>
    <row r="7" customFormat="false" ht="23.25" hidden="false" customHeight="true" outlineLevel="0" collapsed="false">
      <c r="A7" s="6" t="s">
        <v>49</v>
      </c>
      <c r="B7" s="18" t="n">
        <f aca="false">'Vendor Pricing &amp; Assumptions'!B4</f>
        <v>3</v>
      </c>
      <c r="C7" s="18" t="n">
        <f aca="false">'Vendor Pricing &amp; Assumptions'!C4</f>
        <v>15</v>
      </c>
      <c r="D7" s="18" t="n">
        <f aca="false">('Vendor Pricing &amp; Assumptions'!$B$17*'Vendor Pricing &amp; Assumptions'!B4+'Vendor Pricing &amp; Assumptions'!$B$18*'Vendor Pricing &amp; Assumptions'!C4)/1000000+'Vendor Pricing &amp; Assumptions'!D4</f>
        <v>0.00675</v>
      </c>
      <c r="E7" s="15" t="s">
        <v>50</v>
      </c>
    </row>
    <row r="8" customFormat="false" ht="23.25" hidden="false" customHeight="true" outlineLevel="0" collapsed="false">
      <c r="A8" s="6" t="s">
        <v>51</v>
      </c>
      <c r="B8" s="18" t="n">
        <f aca="false">'Vendor Pricing &amp; Assumptions'!B5</f>
        <v>1</v>
      </c>
      <c r="C8" s="18" t="n">
        <f aca="false">'Vendor Pricing &amp; Assumptions'!C5</f>
        <v>5</v>
      </c>
      <c r="D8" s="18" t="n">
        <f aca="false">('Vendor Pricing &amp; Assumptions'!$B$17*'Vendor Pricing &amp; Assumptions'!B5+'Vendor Pricing &amp; Assumptions'!$B$18*'Vendor Pricing &amp; Assumptions'!C5)/1000000+'Vendor Pricing &amp; Assumptions'!D5</f>
        <v>0.00225</v>
      </c>
      <c r="E8" s="15" t="s">
        <v>52</v>
      </c>
    </row>
    <row r="10" customFormat="false" ht="15" hidden="false" customHeight="true" outlineLevel="0" collapsed="false">
      <c r="A10" s="5" t="s">
        <v>53</v>
      </c>
      <c r="D10" s="19" t="n">
        <f aca="false">D7</f>
        <v>0.00675</v>
      </c>
    </row>
    <row r="11" customFormat="false" ht="15" hidden="false" customHeight="true" outlineLevel="0" collapsed="false">
      <c r="A11" s="5" t="s">
        <v>54</v>
      </c>
      <c r="D11" s="19" t="n">
        <f aca="false">D8</f>
        <v>0.00225</v>
      </c>
    </row>
    <row r="13" customFormat="false" ht="15" hidden="false" customHeight="true" outlineLevel="0" collapsed="false">
      <c r="A13" s="16" t="s">
        <v>55</v>
      </c>
      <c r="B13" s="17"/>
      <c r="C13" s="17"/>
      <c r="D13" s="17"/>
      <c r="E13" s="17"/>
    </row>
    <row r="14" customFormat="false" ht="15" hidden="false" customHeight="true" outlineLevel="0" collapsed="false">
      <c r="A14" s="7" t="s">
        <v>44</v>
      </c>
      <c r="B14" s="7" t="s">
        <v>45</v>
      </c>
      <c r="C14" s="7" t="s">
        <v>46</v>
      </c>
      <c r="D14" s="7" t="s">
        <v>47</v>
      </c>
      <c r="E14" s="7" t="s">
        <v>48</v>
      </c>
    </row>
    <row r="15" customFormat="false" ht="15" hidden="false" customHeight="true" outlineLevel="0" collapsed="false">
      <c r="A15" s="6" t="s">
        <v>56</v>
      </c>
      <c r="B15" s="18" t="n">
        <f aca="false">'Vendor Pricing &amp; Assumptions'!B6</f>
        <v>2.5</v>
      </c>
      <c r="C15" s="18" t="n">
        <f aca="false">'Vendor Pricing &amp; Assumptions'!C6</f>
        <v>10</v>
      </c>
      <c r="D15" s="18" t="n">
        <f aca="false">('Vendor Pricing &amp; Assumptions'!$B$17*'Vendor Pricing &amp; Assumptions'!B6+'Vendor Pricing &amp; Assumptions'!$B$18*'Vendor Pricing &amp; Assumptions'!C6)/1000000+'Vendor Pricing &amp; Assumptions'!D6</f>
        <v>0.00475</v>
      </c>
      <c r="E15" s="15" t="s">
        <v>57</v>
      </c>
    </row>
    <row r="16" customFormat="false" ht="21.75" hidden="false" customHeight="true" outlineLevel="0" collapsed="false">
      <c r="A16" s="6" t="s">
        <v>58</v>
      </c>
      <c r="B16" s="18" t="n">
        <f aca="false">'Vendor Pricing &amp; Assumptions'!B8</f>
        <v>3</v>
      </c>
      <c r="C16" s="18" t="n">
        <f aca="false">'Vendor Pricing &amp; Assumptions'!C8</f>
        <v>15</v>
      </c>
      <c r="D16" s="18" t="n">
        <f aca="false">('Vendor Pricing &amp; Assumptions'!$B$17*'Vendor Pricing &amp; Assumptions'!B8+'Vendor Pricing &amp; Assumptions'!$B$18*'Vendor Pricing &amp; Assumptions'!C8)/1000000+'Vendor Pricing &amp; Assumptions'!D8</f>
        <v>0.01625</v>
      </c>
      <c r="E16" s="15" t="s">
        <v>59</v>
      </c>
    </row>
    <row r="17" customFormat="false" ht="32.25" hidden="false" customHeight="true" outlineLevel="0" collapsed="false">
      <c r="A17" s="6" t="s">
        <v>60</v>
      </c>
      <c r="B17" s="18" t="n">
        <f aca="false">'Vendor Pricing &amp; Assumptions'!B10</f>
        <v>0</v>
      </c>
      <c r="C17" s="18" t="n">
        <f aca="false">'Vendor Pricing &amp; Assumptions'!C10</f>
        <v>0</v>
      </c>
      <c r="D17" s="18" t="n">
        <f aca="false">('Vendor Pricing &amp; Assumptions'!$B$17*'Vendor Pricing &amp; Assumptions'!B10+'Vendor Pricing &amp; Assumptions'!$B$18*'Vendor Pricing &amp; Assumptions'!C10)/1000000+'Vendor Pricing &amp; Assumptions'!D10</f>
        <v>0.004</v>
      </c>
      <c r="E17" s="15" t="s">
        <v>61</v>
      </c>
    </row>
    <row r="19" customFormat="false" ht="23.25" hidden="false" customHeight="true" outlineLevel="0" collapsed="false">
      <c r="A19" s="5" t="s">
        <v>62</v>
      </c>
      <c r="D19" s="19" t="n">
        <f aca="false">D15+D16+D17</f>
        <v>0.025</v>
      </c>
    </row>
    <row r="20" customFormat="false" ht="23.25" hidden="false" customHeight="true" outlineLevel="0" collapsed="false">
      <c r="A20" s="5" t="s">
        <v>63</v>
      </c>
      <c r="D20" s="19" t="n">
        <f aca="false">('Vendor Pricing &amp; Assumptions'!$B$17*'Vendor Pricing &amp; Assumptions'!B7+'Vendor Pricing &amp; Assumptions'!$B$18*'Vendor Pricing &amp; Assumptions'!C7)/1000000+'Vendor Pricing &amp; Assumptions'!D7+('Vendor Pricing &amp; Assumptions'!$B$17*'Vendor Pricing &amp; Assumptions'!B9+'Vendor Pricing &amp; Assumptions'!$B$18*'Vendor Pricing &amp; Assumptions'!C9)/1000000+'Vendor Pricing &amp; Assumptions'!D9+D17</f>
        <v>0.014635</v>
      </c>
    </row>
    <row r="22" customFormat="false" ht="15" hidden="false" customHeight="true" outlineLevel="0" collapsed="false">
      <c r="A22" s="20" t="s">
        <v>64</v>
      </c>
    </row>
    <row r="23" customFormat="false" ht="23.25" hidden="false" customHeight="true" outlineLevel="0" collapsed="false">
      <c r="A23" s="7" t="s">
        <v>65</v>
      </c>
      <c r="B23" s="7" t="s">
        <v>47</v>
      </c>
      <c r="C23" s="7" t="s">
        <v>66</v>
      </c>
      <c r="D23" s="7" t="s">
        <v>67</v>
      </c>
    </row>
    <row r="24" customFormat="false" ht="21.75" hidden="false" customHeight="true" outlineLevel="0" collapsed="false">
      <c r="A24" s="21" t="s">
        <v>68</v>
      </c>
      <c r="B24" s="18" t="n">
        <f aca="false">D10</f>
        <v>0.00675</v>
      </c>
      <c r="C24" s="22" t="n">
        <f aca="false">B24/D10</f>
        <v>1</v>
      </c>
      <c r="D24" s="23" t="s">
        <v>69</v>
      </c>
    </row>
    <row r="25" customFormat="false" ht="21.75" hidden="false" customHeight="true" outlineLevel="0" collapsed="false">
      <c r="A25" s="21" t="s">
        <v>70</v>
      </c>
      <c r="B25" s="18" t="n">
        <f aca="false">D11</f>
        <v>0.00225</v>
      </c>
      <c r="C25" s="22" t="n">
        <f aca="false">B25/D10</f>
        <v>0.333333333333333</v>
      </c>
      <c r="D25" s="23" t="s">
        <v>69</v>
      </c>
    </row>
    <row r="26" customFormat="false" ht="21.75" hidden="false" customHeight="true" outlineLevel="0" collapsed="false">
      <c r="A26" s="21" t="s">
        <v>71</v>
      </c>
      <c r="B26" s="18" t="n">
        <f aca="false">D19</f>
        <v>0.025</v>
      </c>
      <c r="C26" s="22" t="n">
        <f aca="false">B26/D10</f>
        <v>3.7037037037037</v>
      </c>
      <c r="D26" s="23" t="s">
        <v>72</v>
      </c>
    </row>
    <row r="27" customFormat="false" ht="21.75" hidden="false" customHeight="true" outlineLevel="0" collapsed="false">
      <c r="A27" s="21" t="s">
        <v>73</v>
      </c>
      <c r="B27" s="18" t="n">
        <f aca="false">D20</f>
        <v>0.014635</v>
      </c>
      <c r="C27" s="22" t="n">
        <f aca="false">B27/D10</f>
        <v>2.16814814814815</v>
      </c>
      <c r="D27" s="23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6"/>
    <col collapsed="false" customWidth="true" hidden="false" outlineLevel="0" max="6" min="6" style="1" width="60"/>
  </cols>
  <sheetData>
    <row r="1" customFormat="false" ht="15.75" hidden="false" customHeight="true" outlineLevel="0" collapsed="false">
      <c r="A1" s="3" t="s">
        <v>74</v>
      </c>
    </row>
    <row r="3" customFormat="false" ht="15" hidden="false" customHeight="true" outlineLevel="0" collapsed="false">
      <c r="A3" s="16" t="s">
        <v>75</v>
      </c>
      <c r="B3" s="17"/>
      <c r="C3" s="17"/>
      <c r="D3" s="17"/>
      <c r="E3" s="17"/>
      <c r="F3" s="17"/>
    </row>
    <row r="4" customFormat="false" ht="30" hidden="false" customHeight="true" outlineLevel="0" collapsed="false">
      <c r="A4" s="24" t="s">
        <v>76</v>
      </c>
      <c r="B4" s="24"/>
      <c r="C4" s="24"/>
      <c r="D4" s="24"/>
      <c r="E4" s="24"/>
      <c r="F4" s="24"/>
    </row>
    <row r="6" customFormat="false" ht="32.25" hidden="false" customHeight="true" outlineLevel="0" collapsed="false">
      <c r="A6" s="25" t="s">
        <v>77</v>
      </c>
    </row>
    <row r="7" customFormat="false" ht="15" hidden="false" customHeight="true" outlineLevel="0" collapsed="false">
      <c r="A7" s="6" t="s">
        <v>78</v>
      </c>
      <c r="B7" s="26" t="n">
        <v>500</v>
      </c>
    </row>
    <row r="8" customFormat="false" ht="15" hidden="false" customHeight="true" outlineLevel="0" collapsed="false">
      <c r="A8" s="6" t="s">
        <v>79</v>
      </c>
      <c r="B8" s="26" t="n">
        <v>1800</v>
      </c>
    </row>
    <row r="10" customFormat="false" ht="23.25" hidden="false" customHeight="true" outlineLevel="0" collapsed="false">
      <c r="A10" s="7" t="s">
        <v>80</v>
      </c>
      <c r="B10" s="7" t="s">
        <v>81</v>
      </c>
      <c r="C10" s="7" t="s">
        <v>82</v>
      </c>
      <c r="D10" s="7" t="s">
        <v>83</v>
      </c>
      <c r="E10" s="7" t="s">
        <v>84</v>
      </c>
      <c r="F10" s="7" t="s">
        <v>85</v>
      </c>
    </row>
    <row r="11" customFormat="false" ht="32.25" hidden="false" customHeight="true" outlineLevel="0" collapsed="false">
      <c r="A11" s="21" t="s">
        <v>86</v>
      </c>
      <c r="B11" s="26" t="n">
        <v>90</v>
      </c>
      <c r="C11" s="23" t="s">
        <v>87</v>
      </c>
      <c r="D11" s="18" t="n">
        <f aca="false">('Vendor Pricing &amp; Assumptions'!B5*$B$7+'Vendor Pricing &amp; Assumptions'!C5*$B$8)/1000000</f>
        <v>0.0095</v>
      </c>
      <c r="E11" s="27" t="n">
        <f aca="false">B11*D11</f>
        <v>0.855</v>
      </c>
      <c r="F11" s="28" t="n">
        <v>0</v>
      </c>
    </row>
    <row r="12" customFormat="false" ht="32.25" hidden="false" customHeight="true" outlineLevel="0" collapsed="false">
      <c r="A12" s="21" t="s">
        <v>88</v>
      </c>
      <c r="B12" s="26" t="n">
        <v>200</v>
      </c>
      <c r="C12" s="23" t="s">
        <v>89</v>
      </c>
      <c r="D12" s="18" t="n">
        <f aca="false">('Vendor Pricing &amp; Assumptions'!B4*$B$7+'Vendor Pricing &amp; Assumptions'!C4*$B$8)/1000000</f>
        <v>0.0285</v>
      </c>
      <c r="E12" s="27" t="n">
        <f aca="false">B12*D12</f>
        <v>5.7</v>
      </c>
      <c r="F12" s="28" t="n">
        <v>29</v>
      </c>
    </row>
    <row r="13" customFormat="false" ht="32.25" hidden="false" customHeight="true" outlineLevel="0" collapsed="false">
      <c r="A13" s="21" t="s">
        <v>90</v>
      </c>
      <c r="B13" s="26" t="n">
        <v>3000</v>
      </c>
      <c r="C13" s="23" t="s">
        <v>91</v>
      </c>
      <c r="D13" s="18" t="n">
        <f aca="false">('Vendor Pricing &amp; Assumptions'!B4*$B$7+'Vendor Pricing &amp; Assumptions'!C4*$B$8)/1000000</f>
        <v>0.0285</v>
      </c>
      <c r="E13" s="27" t="n">
        <f aca="false">B13*D13</f>
        <v>85.5</v>
      </c>
      <c r="F13" s="28" t="n">
        <v>99</v>
      </c>
    </row>
    <row r="15" customFormat="false" ht="15" hidden="false" customHeight="true" outlineLevel="0" collapsed="false">
      <c r="A15" s="16" t="s">
        <v>92</v>
      </c>
      <c r="B15" s="17"/>
      <c r="C15" s="17"/>
      <c r="D15" s="17"/>
      <c r="E15" s="17"/>
      <c r="F15" s="17"/>
    </row>
    <row r="16" customFormat="false" ht="27.75" hidden="false" customHeight="true" outlineLevel="0" collapsed="false">
      <c r="A16" s="24" t="s">
        <v>93</v>
      </c>
      <c r="B16" s="24"/>
      <c r="C16" s="24"/>
      <c r="D16" s="24"/>
      <c r="E16" s="24"/>
      <c r="F16" s="24"/>
    </row>
    <row r="18" customFormat="false" ht="34.5" hidden="false" customHeight="true" outlineLevel="0" collapsed="false">
      <c r="A18" s="7" t="s">
        <v>80</v>
      </c>
      <c r="B18" s="7" t="s">
        <v>94</v>
      </c>
      <c r="C18" s="7" t="s">
        <v>95</v>
      </c>
      <c r="D18" s="7" t="s">
        <v>96</v>
      </c>
      <c r="E18" s="7" t="s">
        <v>97</v>
      </c>
      <c r="F18" s="7" t="s">
        <v>98</v>
      </c>
    </row>
    <row r="19" customFormat="false" ht="15" hidden="false" customHeight="true" outlineLevel="0" collapsed="false">
      <c r="A19" s="21" t="s">
        <v>86</v>
      </c>
      <c r="B19" s="26" t="n">
        <v>0</v>
      </c>
      <c r="C19" s="27" t="n">
        <f aca="false">B19*'Cost Per Scan (A vs B)'!$D$10</f>
        <v>0</v>
      </c>
      <c r="D19" s="27" t="n">
        <f aca="false">B19*'Cost Per Scan (A vs B)'!$D$19</f>
        <v>0</v>
      </c>
      <c r="E19" s="27" t="n">
        <f aca="false">E11+C19</f>
        <v>0.855</v>
      </c>
      <c r="F19" s="27" t="n">
        <f aca="false">E11+D19</f>
        <v>0.855</v>
      </c>
    </row>
    <row r="20" customFormat="false" ht="15" hidden="false" customHeight="true" outlineLevel="0" collapsed="false">
      <c r="A20" s="21" t="s">
        <v>88</v>
      </c>
      <c r="B20" s="26" t="n">
        <v>20</v>
      </c>
      <c r="C20" s="27" t="n">
        <f aca="false">B20*'Cost Per Scan (A vs B)'!$D$10</f>
        <v>0.135</v>
      </c>
      <c r="D20" s="27" t="n">
        <f aca="false">B20*'Cost Per Scan (A vs B)'!$D$19</f>
        <v>0.5</v>
      </c>
      <c r="E20" s="27" t="n">
        <f aca="false">E12+C20</f>
        <v>5.835</v>
      </c>
      <c r="F20" s="27" t="n">
        <f aca="false">E12+D20</f>
        <v>6.2</v>
      </c>
    </row>
    <row r="21" customFormat="false" ht="15" hidden="false" customHeight="true" outlineLevel="0" collapsed="false">
      <c r="A21" s="21" t="s">
        <v>90</v>
      </c>
      <c r="B21" s="26" t="n">
        <v>100</v>
      </c>
      <c r="C21" s="27" t="n">
        <f aca="false">B21*'Cost Per Scan (A vs B)'!$D$10</f>
        <v>0.675</v>
      </c>
      <c r="D21" s="27" t="n">
        <f aca="false">B21*'Cost Per Scan (A vs B)'!$D$19</f>
        <v>2.5</v>
      </c>
      <c r="E21" s="27" t="n">
        <f aca="false">E13+C21</f>
        <v>86.175</v>
      </c>
      <c r="F21" s="27" t="n">
        <f aca="false">E13+D21</f>
        <v>88</v>
      </c>
    </row>
    <row r="23" customFormat="false" ht="15" hidden="false" customHeight="true" outlineLevel="0" collapsed="false">
      <c r="A23" s="16" t="s">
        <v>99</v>
      </c>
      <c r="B23" s="17"/>
      <c r="C23" s="17"/>
      <c r="D23" s="17"/>
      <c r="E23" s="17"/>
      <c r="F23" s="17"/>
    </row>
    <row r="24" customFormat="false" ht="23.25" hidden="false" customHeight="true" outlineLevel="0" collapsed="false">
      <c r="A24" s="7" t="s">
        <v>80</v>
      </c>
      <c r="B24" s="7" t="s">
        <v>85</v>
      </c>
      <c r="C24" s="7" t="s">
        <v>100</v>
      </c>
      <c r="D24" s="7" t="s">
        <v>101</v>
      </c>
      <c r="E24" s="7" t="s">
        <v>102</v>
      </c>
      <c r="F24" s="7" t="s">
        <v>103</v>
      </c>
    </row>
    <row r="25" customFormat="false" ht="15" hidden="false" customHeight="true" outlineLevel="0" collapsed="false">
      <c r="A25" s="21" t="s">
        <v>86</v>
      </c>
      <c r="B25" s="29" t="n">
        <f aca="false">F11</f>
        <v>0</v>
      </c>
      <c r="C25" s="30" t="str">
        <f aca="false">IF(F11=0,"n/a (no revenue)",E11/F11)</f>
        <v>n/a (no revenue)</v>
      </c>
      <c r="D25" s="30" t="str">
        <f aca="false">IF(F11=0,"n/a (no revenue)",E19/F11)</f>
        <v>n/a (no revenue)</v>
      </c>
      <c r="E25" s="30" t="str">
        <f aca="false">IF(F11=0,"n/a (no revenue)",F19/F11)</f>
        <v>n/a (no revenue)</v>
      </c>
      <c r="F25" s="23"/>
    </row>
    <row r="26" customFormat="false" ht="15" hidden="false" customHeight="true" outlineLevel="0" collapsed="false">
      <c r="A26" s="21" t="s">
        <v>88</v>
      </c>
      <c r="B26" s="29" t="n">
        <f aca="false">F12</f>
        <v>29</v>
      </c>
      <c r="C26" s="30" t="n">
        <f aca="false">IF(F12=0,"n/a (no revenue)",E12/F12)</f>
        <v>0.196551724137931</v>
      </c>
      <c r="D26" s="30" t="n">
        <f aca="false">IF(F12=0,"n/a (no revenue)",E20/F12)</f>
        <v>0.201206896551724</v>
      </c>
      <c r="E26" s="30" t="n">
        <f aca="false">IF(F12=0,"n/a (no revenue)",F20/F12)</f>
        <v>0.213793103448276</v>
      </c>
      <c r="F26" s="23"/>
    </row>
    <row r="27" customFormat="false" ht="15" hidden="false" customHeight="true" outlineLevel="0" collapsed="false">
      <c r="A27" s="21" t="s">
        <v>90</v>
      </c>
      <c r="B27" s="29" t="n">
        <f aca="false">F13</f>
        <v>99</v>
      </c>
      <c r="C27" s="30" t="n">
        <f aca="false">IF(F13=0,"n/a (no revenue)",E13/F13)</f>
        <v>0.863636363636364</v>
      </c>
      <c r="D27" s="30" t="n">
        <f aca="false">IF(F13=0,"n/a (no revenue)",E21/F13)</f>
        <v>0.870454545454546</v>
      </c>
      <c r="E27" s="30" t="n">
        <f aca="false">IF(F13=0,"n/a (no revenue)",F21/F13)</f>
        <v>0.888888888888889</v>
      </c>
      <c r="F27" s="23"/>
    </row>
    <row r="29" customFormat="false" ht="15" hidden="false" customHeight="true" outlineLevel="0" collapsed="false">
      <c r="A29" s="16" t="s">
        <v>104</v>
      </c>
      <c r="B29" s="17"/>
      <c r="C29" s="17"/>
      <c r="D29" s="17"/>
      <c r="E29" s="17"/>
      <c r="F29" s="17"/>
    </row>
    <row r="30" customFormat="false" ht="30" hidden="false" customHeight="true" outlineLevel="0" collapsed="false">
      <c r="A30" s="24" t="s">
        <v>105</v>
      </c>
      <c r="B30" s="24"/>
      <c r="C30" s="24"/>
      <c r="D30" s="24"/>
      <c r="E30" s="24"/>
      <c r="F30" s="24"/>
    </row>
    <row r="32" customFormat="false" ht="34.5" hidden="false" customHeight="true" outlineLevel="0" collapsed="false">
      <c r="A32" s="7" t="s">
        <v>80</v>
      </c>
      <c r="B32" s="7" t="s">
        <v>85</v>
      </c>
      <c r="C32" s="7" t="s">
        <v>106</v>
      </c>
      <c r="D32" s="7" t="s">
        <v>107</v>
      </c>
      <c r="E32" s="7" t="s">
        <v>108</v>
      </c>
      <c r="F32" s="7" t="s">
        <v>109</v>
      </c>
    </row>
    <row r="33" customFormat="false" ht="15" hidden="false" customHeight="true" outlineLevel="0" collapsed="false">
      <c r="A33" s="21" t="s">
        <v>86</v>
      </c>
      <c r="B33" s="29" t="n">
        <f aca="false">F11</f>
        <v>0</v>
      </c>
      <c r="C33" s="18" t="n">
        <f aca="false">E19</f>
        <v>0.855</v>
      </c>
      <c r="D33" s="31" t="n">
        <f aca="false">F11-E19</f>
        <v>-0.855</v>
      </c>
      <c r="E33" s="30" t="str">
        <f aca="false">IF(F11=0,"n/a (no revenue)",(F11-E19)/F11)</f>
        <v>n/a (no revenue)</v>
      </c>
      <c r="F33" s="18" t="n">
        <f aca="false">E19-E11</f>
        <v>0</v>
      </c>
    </row>
    <row r="34" customFormat="false" ht="15" hidden="false" customHeight="true" outlineLevel="0" collapsed="false">
      <c r="A34" s="21" t="s">
        <v>88</v>
      </c>
      <c r="B34" s="29" t="n">
        <f aca="false">F12</f>
        <v>29</v>
      </c>
      <c r="C34" s="18" t="n">
        <f aca="false">E20</f>
        <v>5.835</v>
      </c>
      <c r="D34" s="31" t="n">
        <f aca="false">F12-E20</f>
        <v>23.165</v>
      </c>
      <c r="E34" s="30" t="n">
        <f aca="false">IF(F12=0,"n/a (no revenue)",(F12-E20)/F12)</f>
        <v>0.798793103448276</v>
      </c>
      <c r="F34" s="18" t="n">
        <f aca="false">E20-E12</f>
        <v>0.135</v>
      </c>
    </row>
    <row r="35" customFormat="false" ht="15" hidden="false" customHeight="true" outlineLevel="0" collapsed="false">
      <c r="A35" s="21" t="s">
        <v>90</v>
      </c>
      <c r="B35" s="29" t="n">
        <f aca="false">F13</f>
        <v>99</v>
      </c>
      <c r="C35" s="18" t="n">
        <f aca="false">E21</f>
        <v>86.175</v>
      </c>
      <c r="D35" s="31" t="n">
        <f aca="false">F13-E21</f>
        <v>12.825</v>
      </c>
      <c r="E35" s="30" t="n">
        <f aca="false">IF(F13=0,"n/a (no revenue)",(F13-E21)/F13)</f>
        <v>0.129545454545455</v>
      </c>
      <c r="F35" s="18" t="n">
        <f aca="false">E21-E13</f>
        <v>0.674999999999997</v>
      </c>
    </row>
    <row r="37" customFormat="false" ht="15" hidden="false" customHeight="false" outlineLevel="0" collapsed="false">
      <c r="A37" s="32" t="s">
        <v>110</v>
      </c>
      <c r="B37" s="33"/>
      <c r="C37" s="33"/>
      <c r="D37" s="33"/>
      <c r="E37" s="33"/>
      <c r="F37" s="33"/>
    </row>
    <row r="38" customFormat="false" ht="30" hidden="false" customHeight="true" outlineLevel="0" collapsed="false">
      <c r="A38" s="24" t="s">
        <v>111</v>
      </c>
      <c r="B38" s="24"/>
      <c r="C38" s="24"/>
      <c r="D38" s="24"/>
      <c r="E38" s="24"/>
      <c r="F38" s="24"/>
    </row>
    <row r="40" customFormat="false" ht="15" hidden="false" customHeight="false" outlineLevel="0" collapsed="false">
      <c r="A40" s="6" t="s">
        <v>112</v>
      </c>
      <c r="B40" s="34" t="n">
        <v>0.78</v>
      </c>
    </row>
    <row r="42" customFormat="false" ht="23.85" hidden="false" customHeight="false" outlineLevel="0" collapsed="false">
      <c r="A42" s="7" t="s">
        <v>80</v>
      </c>
      <c r="B42" s="7" t="s">
        <v>113</v>
      </c>
      <c r="C42" s="7" t="s">
        <v>114</v>
      </c>
      <c r="D42" s="7" t="s">
        <v>115</v>
      </c>
      <c r="E42" s="7" t="s">
        <v>116</v>
      </c>
      <c r="F42" s="7" t="s">
        <v>117</v>
      </c>
    </row>
    <row r="43" customFormat="false" ht="15" hidden="false" customHeight="false" outlineLevel="0" collapsed="false">
      <c r="A43" s="35" t="s">
        <v>86</v>
      </c>
      <c r="B43" s="36" t="n">
        <f aca="false">F11</f>
        <v>0</v>
      </c>
      <c r="C43" s="37" t="n">
        <f aca="false">E11</f>
        <v>0.855</v>
      </c>
      <c r="D43" s="30" t="str">
        <f aca="false">IF(F11=0,"n/a",(F11-E11)/F11)</f>
        <v>n/a</v>
      </c>
      <c r="E43" s="38" t="str">
        <f aca="false">IF(F11=0,"n/a",IF((F11-E11)/F11&gt;=$B$40,"YES","NO"))</f>
        <v>n/a</v>
      </c>
      <c r="F43" s="37" t="str">
        <f aca="false">IF(F11=0,"n/a",E11/(1-$B$40))</f>
        <v>n/a</v>
      </c>
    </row>
    <row r="44" customFormat="false" ht="15" hidden="false" customHeight="false" outlineLevel="0" collapsed="false">
      <c r="A44" s="35" t="s">
        <v>88</v>
      </c>
      <c r="B44" s="36" t="n">
        <f aca="false">F12</f>
        <v>29</v>
      </c>
      <c r="C44" s="37" t="n">
        <f aca="false">E12</f>
        <v>5.7</v>
      </c>
      <c r="D44" s="30" t="n">
        <f aca="false">IF(F12=0,"n/a",(F12-E12)/F12)</f>
        <v>0.803448275862069</v>
      </c>
      <c r="E44" s="38" t="str">
        <f aca="false">IF(F12=0,"n/a",IF((F12-E12)/F12&gt;=$B$40,"YES","NO"))</f>
        <v>YES</v>
      </c>
      <c r="F44" s="37" t="n">
        <f aca="false">IF(F12=0,"n/a",E12/(1-$B$40))</f>
        <v>25.9090909090909</v>
      </c>
    </row>
    <row r="45" customFormat="false" ht="15" hidden="false" customHeight="false" outlineLevel="0" collapsed="false">
      <c r="A45" s="35" t="s">
        <v>90</v>
      </c>
      <c r="B45" s="36" t="n">
        <f aca="false">F13</f>
        <v>99</v>
      </c>
      <c r="C45" s="37" t="n">
        <f aca="false">E13</f>
        <v>85.5</v>
      </c>
      <c r="D45" s="30" t="n">
        <f aca="false">IF(F13=0,"n/a",(F13-E13)/F13)</f>
        <v>0.136363636363636</v>
      </c>
      <c r="E45" s="38" t="str">
        <f aca="false">IF(F13=0,"n/a",IF((F13-E13)/F13&gt;=$B$40,"YES","NO"))</f>
        <v>NO</v>
      </c>
      <c r="F45" s="37" t="n">
        <f aca="false">IF(F13=0,"n/a",E13/(1-$B$40))</f>
        <v>388.636363636364</v>
      </c>
    </row>
    <row r="47" customFormat="false" ht="35.05" hidden="false" customHeight="false" outlineLevel="0" collapsed="false">
      <c r="A47" s="7" t="s">
        <v>80</v>
      </c>
      <c r="B47" s="7" t="s">
        <v>118</v>
      </c>
      <c r="C47" s="7" t="s">
        <v>83</v>
      </c>
      <c r="D47" s="7" t="s">
        <v>119</v>
      </c>
      <c r="E47" s="7" t="s">
        <v>120</v>
      </c>
      <c r="F47" s="7"/>
    </row>
    <row r="48" customFormat="false" ht="15" hidden="false" customHeight="false" outlineLevel="0" collapsed="false">
      <c r="A48" s="35" t="s">
        <v>86</v>
      </c>
      <c r="B48" s="36" t="n">
        <f aca="false">B11</f>
        <v>90</v>
      </c>
      <c r="C48" s="39" t="n">
        <f aca="false">D11</f>
        <v>0.0095</v>
      </c>
      <c r="D48" s="36" t="str">
        <f aca="false">IF(F11=0,"n/a",(F11*(1-$B$40))/D11)</f>
        <v>n/a</v>
      </c>
      <c r="E48" s="36" t="str">
        <f aca="false">IF(F11=0,"n/a",B11-(F11*(1-$B$40))/D11)</f>
        <v>n/a</v>
      </c>
    </row>
    <row r="49" customFormat="false" ht="15" hidden="false" customHeight="false" outlineLevel="0" collapsed="false">
      <c r="A49" s="35" t="s">
        <v>88</v>
      </c>
      <c r="B49" s="36" t="n">
        <f aca="false">B12</f>
        <v>200</v>
      </c>
      <c r="C49" s="39" t="n">
        <f aca="false">D12</f>
        <v>0.0285</v>
      </c>
      <c r="D49" s="36" t="n">
        <f aca="false">IF(F12=0,"n/a",(F12*(1-$B$40))/D12)</f>
        <v>223.859649122807</v>
      </c>
      <c r="E49" s="36" t="n">
        <f aca="false">IF(F12=0,"n/a",B12-(F12*(1-$B$40))/D12)</f>
        <v>-23.859649122807</v>
      </c>
    </row>
    <row r="50" customFormat="false" ht="15" hidden="false" customHeight="false" outlineLevel="0" collapsed="false">
      <c r="A50" s="35" t="s">
        <v>90</v>
      </c>
      <c r="B50" s="36" t="n">
        <f aca="false">B13</f>
        <v>3000</v>
      </c>
      <c r="C50" s="39" t="n">
        <f aca="false">D13</f>
        <v>0.0285</v>
      </c>
      <c r="D50" s="36" t="n">
        <f aca="false">IF(F13=0,"n/a",(F13*(1-$B$40))/D13)</f>
        <v>764.210526315789</v>
      </c>
      <c r="E50" s="36" t="n">
        <f aca="false">IF(F13=0,"n/a",B13-(F13*(1-$B$40))/D13)</f>
        <v>2235.78947368421</v>
      </c>
    </row>
  </sheetData>
  <mergeCells count="4">
    <mergeCell ref="A4:F4"/>
    <mergeCell ref="A16:F16"/>
    <mergeCell ref="A30:F30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2026-07-19T19:07:53Z</dcterms:created>
  <dc:creator>openpyxl</dc:creator>
  <dc:description/>
  <dc:language>en-US</dc:language>
  <cp:lastModifiedBy/>
  <dcterms:modified xsi:type="dcterms:W3CDTF">2026-07-20T00:39:52Z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